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" sheetId="1" state="visible" r:id="rId3"/>
    <sheet name="Plan_90j" sheetId="2" state="visible" r:id="rId4"/>
    <sheet name="Matrice" sheetId="3" state="visible" r:id="rId5"/>
    <sheet name="CVSS_Ref" sheetId="4" state="visible" r:id="rId6"/>
    <sheet name="Reparti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<sst xmlns="http://schemas.openxmlformats.org/spreadsheetml/2006/main" count="427" uniqueCount="305">
  <si>
    <t xml:space="preserve">Registre des risques - Secuvia 4SYSE  |  Adam &amp; Dhaker  |  20/04/2026</t>
  </si>
  <si>
    <t xml:space="preserve">ID</t>
  </si>
  <si>
    <t xml:space="preserve">Vulnérabilité</t>
  </si>
  <si>
    <t xml:space="preserve">Description</t>
  </si>
  <si>
    <t xml:space="preserve">Impact C</t>
  </si>
  <si>
    <t xml:space="preserve">Impact I</t>
  </si>
  <si>
    <t xml:space="preserve">Impact A</t>
  </si>
  <si>
    <t xml:space="preserve">Probabilité
(1-5)</t>
  </si>
  <si>
    <t xml:space="preserve">Impact
(1-5)</t>
  </si>
  <si>
    <t xml:space="preserve">Criticité</t>
  </si>
  <si>
    <t xml:space="preserve">CVSS v3.1</t>
  </si>
  <si>
    <t xml:space="preserve">Action corrective</t>
  </si>
  <si>
    <t xml:space="preserve">Owner</t>
  </si>
  <si>
    <t xml:space="preserve">Échéance</t>
  </si>
  <si>
    <t xml:space="preserve">Indicateur de succès</t>
  </si>
  <si>
    <t xml:space="preserve">Statut</t>
  </si>
  <si>
    <t xml:space="preserve">A2</t>
  </si>
  <si>
    <t xml:space="preserve">ADCS ESC1 - Template vulnérable</t>
  </si>
  <si>
    <t xml:space="preserve">Le template VulnTemplate permet à tout user authentifié de demander un certificat au nom d'un Domain Admin (flag ENROLLEE_SUPPLIES_SUBJECT). Compromission totale du domaine en 30 secondes.</t>
  </si>
  <si>
    <t xml:space="preserve">H</t>
  </si>
  <si>
    <t xml:space="preserve">Désactiver le flag ENROLLEE_SUPPLIES_SUBJECT ; restreindre les permissions d'enrôlement au strict nécessaire ; activer l'approbation CA Manager.</t>
  </si>
  <si>
    <t xml:space="preserve">Adam</t>
  </si>
  <si>
    <t xml:space="preserve">S1</t>
  </si>
  <si>
    <t xml:space="preserve">certipy find -vulnerable ne liste plus le template</t>
  </si>
  <si>
    <t xml:space="preserve">À faire</t>
  </si>
  <si>
    <t xml:space="preserve">A1</t>
  </si>
  <si>
    <t xml:space="preserve">Kerberoasting - 3 comptes SPN faibles</t>
  </si>
  <si>
    <t xml:space="preserve">3 comptes de service (svc_sql, svc_backup, svc_web) ont des SPN avec mots de passe faibles (Summer2024, etc.) craquables en moins d'une minute avec rockyou.txt.</t>
  </si>
  <si>
    <t xml:space="preserve">N</t>
  </si>
  <si>
    <t xml:space="preserve">Rotation immédiate des mots de passe (25+ chars aléatoires) ; migration vers gMSA ; désactiver RC4 pour ces comptes ; activer règle SIGMA EventID 4769.</t>
  </si>
  <si>
    <t xml:space="preserve">hashcat -m 13100 ne crack plus en &lt; 24h</t>
  </si>
  <si>
    <t xml:space="preserve">A4</t>
  </si>
  <si>
    <t xml:space="preserve">Pas de tiering administratif</t>
  </si>
  <si>
    <t xml:space="preserve">Les 3 Domain Admins (da1/da2/da3) sont utilisables sur tous les postes. Compromission d'un poste = risque d'obtention de hash DA via Mimikatz / Pass-the-Hash.</t>
  </si>
  <si>
    <t xml:space="preserve">M</t>
  </si>
  <si>
    <t xml:space="preserve">Créer OU Tier-0 / Tier-1 / Tier-2 ; GPO 'Deny logon locally' croisées ; comptes admin dédiés par tier ; Protected Users group ; LAPS sur postes.</t>
  </si>
  <si>
    <t xml:space="preserve">S2</t>
  </si>
  <si>
    <t xml:space="preserve">Get-ADGroupMember affiche uniquement comptes DA en T0</t>
  </si>
  <si>
    <t xml:space="preserve">TLS1</t>
  </si>
  <si>
    <t xml:space="preserve">LDAPS sans certificat</t>
  </si>
  <si>
    <t xml:space="preserve">Le port 636 est ouvert mais ne présente aucun certificat (no peer certificate). Les clients LDAP tombent en LDAP simple (389) transmettant les credentials en clair.</t>
  </si>
  <si>
    <t xml:space="preserve">Enrôlement automatique via ADCS (template Kerberos Authentication) ; ou certificat Microsoft PKI ; redémarrer NTDS après installation.</t>
  </si>
  <si>
    <t xml:space="preserve">Dhaker</t>
  </si>
  <si>
    <t xml:space="preserve">testssl.sh 10.10.10.10:636 retourne TLS 1.2/1.3 + certificat valide</t>
  </si>
  <si>
    <t xml:space="preserve">A5</t>
  </si>
  <si>
    <t xml:space="preserve">Absence de journalisation centralisée</t>
  </si>
  <si>
    <t xml:space="preserve">Aucun SIEM ni journalisation centralisée. Impossibilité de détecter attaques en cours (Kerberoast, ADCS abuse) ou de corréler des événements.</t>
  </si>
  <si>
    <t xml:space="preserve">L</t>
  </si>
  <si>
    <t xml:space="preserve">Déployer SIEM ELK (fait) ; configurer WEF côté DC ; rsyslog sur serveurs Linux ; écrire 5 règles SIGMA ; dashboards Kibana par domaine.</t>
  </si>
  <si>
    <t xml:space="preserve">Kibana reçoit &gt; 100 événements Windows par heure</t>
  </si>
  <si>
    <t xml:space="preserve">En cours</t>
  </si>
  <si>
    <t xml:space="preserve">A3</t>
  </si>
  <si>
    <t xml:space="preserve">Zone transfer DNS ouvert</t>
  </si>
  <si>
    <t xml:space="preserve">La zone secuvia.local est exfiltrable par un simple dig AXFR. 21 records révélés (SRV, A, SOA) permettant la cartographie complète du domaine.</t>
  </si>
  <si>
    <t xml:space="preserve">Restreindre AXFR aux seuls NS listés : Set-DnsServerPrimaryZone -SecureSecondaries TransferToZoneNameServer.</t>
  </si>
  <si>
    <t xml:space="preserve">dig AXFR @DC secuvia.local retourne 'Transfer failed'</t>
  </si>
  <si>
    <t xml:space="preserve">TLS2</t>
  </si>
  <si>
    <t xml:space="preserve">LDAP en clair sur port 389</t>
  </si>
  <si>
    <t xml:space="preserve">LDAP (port 389) accepte les binds en clair. Les credentials AD transitent sans chiffrement, exploitable par simple écoute réseau (Wireshark).</t>
  </si>
  <si>
    <t xml:space="preserve">Forcer le signing LDAP (registre Windows) ; désactiver LDAP simple bind sans TLS ; migrer tous les clients vers LDAPS.</t>
  </si>
  <si>
    <t xml:space="preserve">M1</t>
  </si>
  <si>
    <t xml:space="preserve">RejectNullBinds=1 + LDAP simple bind refuse les connexions non signées</t>
  </si>
  <si>
    <t xml:space="preserve">NET1</t>
  </si>
  <si>
    <t xml:space="preserve">WinRM HTTP non chiffré</t>
  </si>
  <si>
    <t xml:space="preserve">Le port 5985 (WinRM HTTP) est ouvert sans TLS. Les sessions d'administration transmettent credentials en clair sur le réseau.</t>
  </si>
  <si>
    <t xml:space="preserve">Activer WinRM HTTPS (port 5986) avec certificat valide ; désactiver listener HTTP ; restreindre via GPO aux admins T1.</t>
  </si>
  <si>
    <t xml:space="preserve">nmap : port 5985 closed, port 5986 avec TLS</t>
  </si>
  <si>
    <t xml:space="preserve">DHCP1</t>
  </si>
  <si>
    <t xml:space="preserve">DHCP sans snooping</t>
  </si>
  <si>
    <t xml:space="preserve">Aucun DHCP snooping côté switches. Un rogue DHCP server peut répondre aux clients et détourner le trafic (MITM).</t>
  </si>
  <si>
    <t xml:space="preserve">Configurer DHCP snooping sur switches (IOS: ip dhcp snooping) ; définir ports trusted (uplinks) ; activer DAI (Dynamic ARP Inspection).</t>
  </si>
  <si>
    <t xml:space="preserve">M2</t>
  </si>
  <si>
    <t xml:space="preserve">Rogue DHCP ne répond plus (test Responder)</t>
  </si>
  <si>
    <t xml:space="preserve">NET2</t>
  </si>
  <si>
    <t xml:space="preserve">Surface d'attaque large sur DC</t>
  </si>
  <si>
    <t xml:space="preserve">17 ports ouverts sur DC01 (RPC dynamiques 49664-49716 inclus). Surface d'attaque étendue, difficile à filtrer depuis l'extérieur.</t>
  </si>
  <si>
    <t xml:space="preserve">Restreindre RPC dynamiques via firewall Windows (plage réduite) ; segmenter DC sur VLAN dédié ; limiter accès admin aux seuls bastions.</t>
  </si>
  <si>
    <t xml:space="preserve">M3</t>
  </si>
  <si>
    <t xml:space="preserve">nmap depuis le LAN utilisateur : ports RPC filtered</t>
  </si>
  <si>
    <t xml:space="preserve">Légende :</t>
  </si>
  <si>
    <t xml:space="preserve">C = Confidentialité  |  I = Intégrité  |  A = Disponibilité  (H = Haut, M = Moyen, L = Faible, N = Nul)</t>
  </si>
  <si>
    <t xml:space="preserve">Échéance :</t>
  </si>
  <si>
    <t xml:space="preserve">S1 = Semaine 1  |  S2 = Semaine 2  |  M1 = Mois 1  |  M2 = Mois 2  |  M3 = Mois 3</t>
  </si>
  <si>
    <t xml:space="preserve">Owner :</t>
  </si>
  <si>
    <t xml:space="preserve">Adam = AD / ADCS / Tiering / Kerberoast  |  Dhaker = DNS / TLS / Nmap / SIEM / SIGMA</t>
  </si>
  <si>
    <t xml:space="preserve">Plan d'actions 90 jours - Secuvia 4SYSE</t>
  </si>
  <si>
    <t xml:space="preserve">QUICK WINS (Semaines 1-2) - Effort faible, impact fort</t>
  </si>
  <si>
    <t xml:space="preserve">#</t>
  </si>
  <si>
    <t xml:space="preserve">Action</t>
  </si>
  <si>
    <t xml:space="preserve">Objectif / Détails</t>
  </si>
  <si>
    <t xml:space="preserve">Effort (j-h)</t>
  </si>
  <si>
    <t xml:space="preserve">CVSS</t>
  </si>
  <si>
    <t xml:space="preserve">Dépendances</t>
  </si>
  <si>
    <t xml:space="preserve">KPI de succès</t>
  </si>
  <si>
    <t xml:space="preserve">QW1</t>
  </si>
  <si>
    <t xml:space="preserve">Restreindre zone transfer DNS</t>
  </si>
  <si>
    <t xml:space="preserve">Set-DnsServerPrimaryZone -SecureSecondaries TransferToZoneNameServer sur tous les DC. Traite la vuln A3.</t>
  </si>
  <si>
    <t xml:space="preserve">0.5</t>
  </si>
  <si>
    <t xml:space="preserve">Aucune</t>
  </si>
  <si>
    <t xml:space="preserve">dig AXFR retourne 'Transfer failed'</t>
  </si>
  <si>
    <t xml:space="preserve">QW2</t>
  </si>
  <si>
    <t xml:space="preserve">Désactiver template ADCS ESC1</t>
  </si>
  <si>
    <t xml:space="preserve">Retirer flag ENROLLEE_SUPPLIES_SUBJECT sur VulnTemplate ; révoquer certs émis. Traite A2.</t>
  </si>
  <si>
    <t xml:space="preserve">1</t>
  </si>
  <si>
    <t xml:space="preserve">QW3</t>
  </si>
  <si>
    <t xml:space="preserve">Rotation MDP 3 comptes SPN</t>
  </si>
  <si>
    <t xml:space="preserve">Changer MDP de svc_sql, svc_backup, svc_web par 25+ chars aléatoires. Traite A1 partiellement.</t>
  </si>
  <si>
    <t xml:space="preserve">Coordination avec équipes applicatives</t>
  </si>
  <si>
    <t xml:space="preserve">Nouveau MDP &gt; 24 chars, pas dans rockyou</t>
  </si>
  <si>
    <t xml:space="preserve">QW4</t>
  </si>
  <si>
    <t xml:space="preserve">Bloquer LDAP simple bind non signé</t>
  </si>
  <si>
    <t xml:space="preserve">Registre Windows : LDAPServerIntegrity = 2 (Require). Forcer LDAP signing.</t>
  </si>
  <si>
    <t xml:space="preserve">ldapsearch sans bind sign refuse la connexion</t>
  </si>
  <si>
    <t xml:space="preserve">QW5</t>
  </si>
  <si>
    <t xml:space="preserve">Activer DHCP snooping (switches)</t>
  </si>
  <si>
    <t xml:space="preserve">Configurer ip dhcp snooping sur VLAN utilisateurs. Marquer uplinks trusted.</t>
  </si>
  <si>
    <t xml:space="preserve">Accès admin switch</t>
  </si>
  <si>
    <t xml:space="preserve">QW6</t>
  </si>
  <si>
    <t xml:space="preserve">SIEM ELK + ingestion DC</t>
  </si>
  <si>
    <t xml:space="preserve">docker-compose up ELK (fait) + configurer WEF pour forward Security logs.</t>
  </si>
  <si>
    <t xml:space="preserve">2</t>
  </si>
  <si>
    <t xml:space="preserve">Kibana reçoit &gt; 100 events/h depuis DC</t>
  </si>
  <si>
    <t xml:space="preserve">MOYEN TERME (Mois 1-2) - Effort modéré, cadrage requis</t>
  </si>
  <si>
    <t xml:space="preserve">MT1</t>
  </si>
  <si>
    <t xml:space="preserve">Tiering administratif (T0/T1/T2)</t>
  </si>
  <si>
    <t xml:space="preserve">Créer OU Tier-0/1/2 ; migrer DA en T0 ; GPO deny logon croisées. Traite A4.</t>
  </si>
  <si>
    <t xml:space="preserve">5</t>
  </si>
  <si>
    <t xml:space="preserve">Inventaire des comptes admin (pré-requis)</t>
  </si>
  <si>
    <t xml:space="preserve">Get-ADGroupMember : uniquement comptes T0 dans DA</t>
  </si>
  <si>
    <t xml:space="preserve">MT2</t>
  </si>
  <si>
    <t xml:space="preserve">Déploiement LAPS</t>
  </si>
  <si>
    <t xml:space="preserve">Windows LAPS via GPO sur OU postes. Rotation MDP admin local quotidienne.</t>
  </si>
  <si>
    <t xml:space="preserve">3</t>
  </si>
  <si>
    <t xml:space="preserve">Schema extension AD</t>
  </si>
  <si>
    <t xml:space="preserve">Get-LapsADPassword retourne MDP récent</t>
  </si>
  <si>
    <t xml:space="preserve">MT3</t>
  </si>
  <si>
    <t xml:space="preserve">Migration comptes service vers gMSA</t>
  </si>
  <si>
    <t xml:space="preserve">Convertir svc_sql, svc_backup, svc_web en gMSA. Rotation auto tous les 30j.</t>
  </si>
  <si>
    <t xml:space="preserve">Get-ADServiceAccount | Test-ADServiceAccount = True</t>
  </si>
  <si>
    <t xml:space="preserve">MT4</t>
  </si>
  <si>
    <t xml:space="preserve">Installation cert LDAPS propre</t>
  </si>
  <si>
    <t xml:space="preserve">Template Kerberos Authentication ; enrôlement auto DC ; renouvellement 1an.</t>
  </si>
  <si>
    <t xml:space="preserve">ADCS opérationnel (pré-requis MT5)</t>
  </si>
  <si>
    <t xml:space="preserve">testssl.sh 636 : TLS 1.2/1.3 + cert trusted</t>
  </si>
  <si>
    <t xml:space="preserve">MT5</t>
  </si>
  <si>
    <t xml:space="preserve">Migration WinRM vers HTTPS</t>
  </si>
  <si>
    <t xml:space="preserve">Listener 5986 + certificat ; GPO pour désactiver listener HTTP 5985.</t>
  </si>
  <si>
    <t xml:space="preserve">Cert serveur émis</t>
  </si>
  <si>
    <t xml:space="preserve">nmap : port 5986 TLS, 5985 fermé</t>
  </si>
  <si>
    <t xml:space="preserve">MT6</t>
  </si>
  <si>
    <t xml:space="preserve">10 règles SIGMA en production</t>
  </si>
  <si>
    <t xml:space="preserve">Kerberoast, Golden Ticket, DCSync, ADCS abuse, BloodHound collect, etc.</t>
  </si>
  <si>
    <t xml:space="preserve">SIEM opérationnel (QW6)</t>
  </si>
  <si>
    <t xml:space="preserve">10 règles actives + alertes testées</t>
  </si>
  <si>
    <t xml:space="preserve">MT7</t>
  </si>
  <si>
    <t xml:space="preserve">Filtrage RPC dynamiques</t>
  </si>
  <si>
    <t xml:space="preserve">Restreindre plage RPC via registre + Firewall Windows (NoTcpIp &amp; FromIPs).</t>
  </si>
  <si>
    <t xml:space="preserve">Fenêtre de maintenance</t>
  </si>
  <si>
    <t xml:space="preserve">nmap externe : ports 49000-49999 filtered</t>
  </si>
  <si>
    <t xml:space="preserve">CONSOLIDATION (Mois 3) - Gouvernance et industrialisation</t>
  </si>
  <si>
    <t xml:space="preserve">C1</t>
  </si>
  <si>
    <t xml:space="preserve">Benchmark CIS Windows Server 2022</t>
  </si>
  <si>
    <t xml:space="preserve">Exécuter CIS-CAT ou audit manuel des 20 contrôles prioritaires ; gap analysis.</t>
  </si>
  <si>
    <t xml:space="preserve">Rapport CIS avec score &gt; 80%</t>
  </si>
  <si>
    <t xml:space="preserve">C2</t>
  </si>
  <si>
    <t xml:space="preserve">Matrice RACI</t>
  </si>
  <si>
    <t xml:space="preserve">Formaliser rôles (Responsible/Accountable/Consulted/Informed) par processus de sécurité.</t>
  </si>
  <si>
    <t xml:space="preserve">Doc RACI validé par RSSI</t>
  </si>
  <si>
    <t xml:space="preserve">C3</t>
  </si>
  <si>
    <t xml:space="preserve">Plan de sensibilisation</t>
  </si>
  <si>
    <t xml:space="preserve">Formation 1h/trimestre pour admins ; campagne phishing ; charte mot de passe.</t>
  </si>
  <si>
    <t xml:space="preserve">Budget formation validé</t>
  </si>
  <si>
    <t xml:space="preserve">&gt; 90% des admins formés dans l'année</t>
  </si>
  <si>
    <t xml:space="preserve">C4</t>
  </si>
  <si>
    <t xml:space="preserve">Procédures de réponse à incident</t>
  </si>
  <si>
    <t xml:space="preserve">Playbooks Kerberoast, ADCS abuse, ransomware ; exercice table-top trimestriel.</t>
  </si>
  <si>
    <t xml:space="preserve">SIEM opérationnel</t>
  </si>
  <si>
    <t xml:space="preserve">Les deux</t>
  </si>
  <si>
    <t xml:space="preserve">3 playbooks + 1 exercice par trimestre</t>
  </si>
  <si>
    <t xml:space="preserve">C5</t>
  </si>
  <si>
    <t xml:space="preserve">Revue d'accès trimestrielle</t>
  </si>
  <si>
    <t xml:space="preserve">Certification des comptes privilégiés ; désactivation comptes inactifs &gt; 90j.</t>
  </si>
  <si>
    <t xml:space="preserve">Inventaire comptes (MT1)</t>
  </si>
  <si>
    <t xml:space="preserve">0 compte admin inactif &gt; 90j</t>
  </si>
  <si>
    <t xml:space="preserve">C6</t>
  </si>
  <si>
    <t xml:space="preserve">Sauvegarde et PRA</t>
  </si>
  <si>
    <t xml:space="preserve">Plan de reprise AD ; tests de restauration bimestriels ; backup offline.</t>
  </si>
  <si>
    <t xml:space="preserve">Infrastructure backup</t>
  </si>
  <si>
    <t xml:space="preserve">Restauration AD testée &lt; 4h</t>
  </si>
  <si>
    <t xml:space="preserve">Synthèse - Totaux par phase</t>
  </si>
  <si>
    <t xml:space="preserve">Phase</t>
  </si>
  <si>
    <t xml:space="preserve">Nb actions</t>
  </si>
  <si>
    <t xml:space="preserve">Effort total (j-h)</t>
  </si>
  <si>
    <t xml:space="preserve">Quick Wins (S1-S2)</t>
  </si>
  <si>
    <t xml:space="preserve">Moyen terme (M1-M2)</t>
  </si>
  <si>
    <t xml:space="preserve">Consolidation (M3)</t>
  </si>
  <si>
    <t xml:space="preserve">TOTAL GÉNÉRAL</t>
  </si>
  <si>
    <t xml:space="preserve">Matrice de criticité - Probabilité × Impact</t>
  </si>
  <si>
    <t xml:space="preserve">↓ Probabilité  /  → Impact</t>
  </si>
  <si>
    <t xml:space="preserve">Impact 1
Négligeable</t>
  </si>
  <si>
    <t xml:space="preserve">Impact 2
Mineur</t>
  </si>
  <si>
    <t xml:space="preserve">Impact 3
Modéré</t>
  </si>
  <si>
    <t xml:space="preserve">Impact 4
Majeur</t>
  </si>
  <si>
    <t xml:space="preserve">Impact 5
Critique</t>
  </si>
  <si>
    <t xml:space="preserve">5
Très probable</t>
  </si>
  <si>
    <t xml:space="preserve">5
BAS</t>
  </si>
  <si>
    <t xml:space="preserve">10
MOYEN</t>
  </si>
  <si>
    <t xml:space="preserve">15
HAUT</t>
  </si>
  <si>
    <t xml:space="preserve">20
CRITIQUE</t>
  </si>
  <si>
    <t xml:space="preserve">25
CRITIQUE</t>
  </si>
  <si>
    <t xml:space="preserve">4
Probable</t>
  </si>
  <si>
    <t xml:space="preserve">4
BAS</t>
  </si>
  <si>
    <t xml:space="preserve">8
MOYEN</t>
  </si>
  <si>
    <t xml:space="preserve">12
HAUT</t>
  </si>
  <si>
    <t xml:space="preserve">16
HAUT</t>
  </si>
  <si>
    <t xml:space="preserve">3
Possible</t>
  </si>
  <si>
    <t xml:space="preserve">3
BAS</t>
  </si>
  <si>
    <t xml:space="preserve">6
MOYEN</t>
  </si>
  <si>
    <t xml:space="preserve">9
MOYEN</t>
  </si>
  <si>
    <t xml:space="preserve">2
Peu probable</t>
  </si>
  <si>
    <t xml:space="preserve">2
TRES BAS</t>
  </si>
  <si>
    <t xml:space="preserve">1
Improbable</t>
  </si>
  <si>
    <t xml:space="preserve">1
TRES BAS</t>
  </si>
  <si>
    <t xml:space="preserve">CRITIQUE</t>
  </si>
  <si>
    <t xml:space="preserve">Score &gt;= 20 - Traitement immédiat, escalade direction</t>
  </si>
  <si>
    <t xml:space="preserve">HAUT</t>
  </si>
  <si>
    <t xml:space="preserve">Score 12-19 - Priorité haute, traitement &lt; 1 mois</t>
  </si>
  <si>
    <t xml:space="preserve">MOYEN</t>
  </si>
  <si>
    <t xml:space="preserve">Score 6-11  - Priorité moyenne, traitement &lt; 3 mois</t>
  </si>
  <si>
    <t xml:space="preserve">BAS</t>
  </si>
  <si>
    <t xml:space="preserve">Score 3-5   - Priorité basse, traitement &lt; 6 mois</t>
  </si>
  <si>
    <t xml:space="preserve">TRES BAS</t>
  </si>
  <si>
    <t xml:space="preserve">Score 1-2   - Acceptable, surveillance</t>
  </si>
  <si>
    <t xml:space="preserve">Référence CVSS v3.1 - Interprétation des scores</t>
  </si>
  <si>
    <t xml:space="preserve">Score</t>
  </si>
  <si>
    <t xml:space="preserve">Sévérité</t>
  </si>
  <si>
    <t xml:space="preserve">Exemple dans notre audit</t>
  </si>
  <si>
    <t xml:space="preserve">9.0 - 10.0</t>
  </si>
  <si>
    <t xml:space="preserve">Exploitable à distance sans authentification, impact total.</t>
  </si>
  <si>
    <t xml:space="preserve">A2 ADCS ESC1 (CVSS 9.8)</t>
  </si>
  <si>
    <t xml:space="preserve">7.0 - 8.9</t>
  </si>
  <si>
    <t xml:space="preserve">Exploitation relativement facile avec privilèges limités, impact élevé.</t>
  </si>
  <si>
    <t xml:space="preserve">A1 Kerberoasting (8.1), A4 Tiering (7.5), TLS1 LDAPS (7.5), A5 SIEM (7.5)</t>
  </si>
  <si>
    <t xml:space="preserve">4.0 - 6.9</t>
  </si>
  <si>
    <t xml:space="preserve">Exploitation plus complexe ou impact limité (C/I/A).</t>
  </si>
  <si>
    <t xml:space="preserve">TLS2 LDAP clair (6.5), NET1 WinRM (6.1), DHCP1 (5.5), A3 AXFR (5.3), NET2 (5.0)</t>
  </si>
  <si>
    <t xml:space="preserve">0.1 - 3.9</t>
  </si>
  <si>
    <t xml:space="preserve">Exploitation difficile ou impact minime.</t>
  </si>
  <si>
    <t xml:space="preserve">Aucun cas dans notre audit</t>
  </si>
  <si>
    <t xml:space="preserve">0.0</t>
  </si>
  <si>
    <t xml:space="preserve">AUCUN</t>
  </si>
  <si>
    <t xml:space="preserve">Pas d'impact de sécurité.</t>
  </si>
  <si>
    <t xml:space="preserve">-</t>
  </si>
  <si>
    <t xml:space="preserve">Méthodologie : CVSS v3.1 calculés avec Attack Vector Network, Low Complexity, No User Interaction. Contexte lab, à recalculer selon exposition réelle.</t>
  </si>
  <si>
    <t xml:space="preserve">Répartition des tâches - Binôme Adam &amp; Dhaker  (exigé par le barème)</t>
  </si>
  <si>
    <t xml:space="preserve">Tâche</t>
  </si>
  <si>
    <t xml:space="preserve">Adam (%)</t>
  </si>
  <si>
    <t xml:space="preserve">Dhaker (%)</t>
  </si>
  <si>
    <t xml:space="preserve">Total</t>
  </si>
  <si>
    <t xml:space="preserve">Livrables produits</t>
  </si>
  <si>
    <t xml:space="preserve">Montage du lab (VMs, réseau VMnet5)</t>
  </si>
  <si>
    <t xml:space="preserve">create-dc.ps1, peuplement-ad.ps1</t>
  </si>
  <si>
    <t xml:space="preserve">Peuplement AD (OU, users, SPN)</t>
  </si>
  <si>
    <t xml:space="preserve">peuplement-ad.ps1 + captures lab</t>
  </si>
  <si>
    <t xml:space="preserve">Installation ADCS + template ESC1</t>
  </si>
  <si>
    <t xml:space="preserve">install-adcs.ps1</t>
  </si>
  <si>
    <t xml:space="preserve">Audit BloodHound (énumération AD)</t>
  </si>
  <si>
    <t xml:space="preserve">bloodhound_export.zip + analyse</t>
  </si>
  <si>
    <t xml:space="preserve">Audit Certipy (ESC1)</t>
  </si>
  <si>
    <t xml:space="preserve">certipy-find-output.txt + exploit</t>
  </si>
  <si>
    <t xml:space="preserve">Kerberoasting Impacket + Hashcat</t>
  </si>
  <si>
    <t xml:space="preserve">hashes.txt + cracked.txt</t>
  </si>
  <si>
    <t xml:space="preserve">Audit DNS (zone transfer)</t>
  </si>
  <si>
    <t xml:space="preserve">dig_axfr_before.txt</t>
  </si>
  <si>
    <t xml:space="preserve">Audit DHCP</t>
  </si>
  <si>
    <t xml:space="preserve">dhcp-capture.pcap + nmap</t>
  </si>
  <si>
    <t xml:space="preserve">Audit Nmap (subnet)</t>
  </si>
  <si>
    <t xml:space="preserve">nmap_subnet.nmap/.xml</t>
  </si>
  <si>
    <t xml:space="preserve">Audit TLS (testssl.sh)</t>
  </si>
  <si>
    <t xml:space="preserve">testssl HTML reports</t>
  </si>
  <si>
    <t xml:space="preserve">Remédiations AD/ADCS/tiering</t>
  </si>
  <si>
    <t xml:space="preserve">Scripts hardening + captures AFTER</t>
  </si>
  <si>
    <t xml:space="preserve">Remédiations DNS/DHCP/TLS</t>
  </si>
  <si>
    <t xml:space="preserve">Config changes + captures AFTER</t>
  </si>
  <si>
    <t xml:space="preserve">SIEM ELK (docker-compose)</t>
  </si>
  <si>
    <t xml:space="preserve">docker-compose.yml + Kibana</t>
  </si>
  <si>
    <t xml:space="preserve">Règle SIGMA Kerberoast</t>
  </si>
  <si>
    <t xml:space="preserve">sigma_kerberoast.yml</t>
  </si>
  <si>
    <t xml:space="preserve">WEF + rsyslog (centralisation)</t>
  </si>
  <si>
    <t xml:space="preserve">Config WEF DC + rsyslog Linux</t>
  </si>
  <si>
    <t xml:space="preserve">Registre des risques XLSX</t>
  </si>
  <si>
    <t xml:space="preserve">Ce fichier</t>
  </si>
  <si>
    <t xml:space="preserve">Plan d'actions 90 jours</t>
  </si>
  <si>
    <t xml:space="preserve">Onglet Plan_90j</t>
  </si>
  <si>
    <t xml:space="preserve">Rapport PDF 15-20p : AD/ADCS sections</t>
  </si>
  <si>
    <t xml:space="preserve">~7 pages</t>
  </si>
  <si>
    <t xml:space="preserve">Rapport PDF 15-20p : Réseau/SIEM sections</t>
  </si>
  <si>
    <t xml:space="preserve">Rapport PDF : synthèse managériale + fusion</t>
  </si>
  <si>
    <t xml:space="preserve">2-3 pages</t>
  </si>
  <si>
    <t xml:space="preserve">Slides soutenance (10 max)</t>
  </si>
  <si>
    <t xml:space="preserve">5 slides chacun</t>
  </si>
  <si>
    <t xml:space="preserve">Soutenance orale (15 min + 5 min Q/A)</t>
  </si>
  <si>
    <t xml:space="preserve">~7 min chacun</t>
  </si>
  <si>
    <t xml:space="preserve">TOTAL - Moyenne de contribution</t>
  </si>
  <si>
    <t xml:space="preserve">Note : Les pourcentages reflètent la contribution effective sur chaque tâche. La répartition est équilibrée avec une spécialisation AD/ADCS pour Adam et Réseau/SIEM pour Dhaker, cohérente avec les profils et les 5 domaines du barème.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</si>
</sst>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874A6"/>
        <bgColor rgb="FF008080"/>
      </patternFill>
    </fill>
    <fill>
      <patternFill patternType="solid">
        <fgColor rgb="FF0B3D91"/>
        <bgColor rgb="FF0066CC"/>
      </patternFill>
    </fill>
    <fill>
      <patternFill patternType="solid">
        <fgColor rgb="FFEAF2F8"/>
        <bgColor rgb="FFFEF9E7"/>
      </patternFill>
    </fill>
    <fill>
      <patternFill patternType="solid">
        <fgColor rgb="FFFFCDD2"/>
        <bgColor rgb="FFFDEBD0"/>
      </patternFill>
    </fill>
    <fill>
      <patternFill patternType="solid">
        <fgColor rgb="FFFEF9E7"/>
        <bgColor rgb="FFFFFFFF"/>
      </patternFill>
    </fill>
    <fill>
      <patternFill patternType="solid">
        <fgColor rgb="FFFFF9C4"/>
        <bgColor rgb="FFFDEBD0"/>
      </patternFill>
    </fill>
    <fill>
      <patternFill patternType="solid">
        <fgColor rgb="FF27AE60"/>
        <bgColor rgb="FF008080"/>
      </patternFill>
    </fill>
    <fill>
      <patternFill patternType="solid">
        <fgColor rgb="FFF39C12"/>
        <bgColor rgb="FFE67E22"/>
      </patternFill>
    </fill>
    <fill>
      <patternFill patternType="solid">
        <fgColor rgb="FF5B2C6F"/>
        <bgColor rgb="FF333333"/>
      </patternFill>
    </fill>
    <fill>
      <patternFill patternType="solid">
        <fgColor rgb="FFFDEBD0"/>
        <bgColor rgb="FFFFF9C4"/>
      </patternFill>
    </fill>
    <fill>
      <patternFill patternType="solid">
        <fgColor rgb="FFD6DCE5"/>
        <bgColor rgb="FFEAF2F8"/>
      </patternFill>
    </fill>
    <fill>
      <patternFill patternType="solid">
        <fgColor rgb="FFF1C40F"/>
        <bgColor rgb="FFF39C12"/>
      </patternFill>
    </fill>
    <fill>
      <patternFill patternType="solid">
        <fgColor rgb="FFE67E22"/>
        <bgColor rgb="FFF39C12"/>
      </patternFill>
    </fill>
    <fill>
      <patternFill patternType="solid">
        <fgColor rgb="FFC0392B"/>
        <bgColor rgb="FF993366"/>
      </patternFill>
    </fill>
    <fill>
      <patternFill patternType="solid">
        <fgColor rgb="FFAED6F1"/>
        <bgColor rgb="FFD6DC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67E22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1C40F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7AE6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AED6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0C0C0"/>
      <rgbColor rgb="FF808080"/>
      <rgbColor rgb="FF9999FF"/>
      <rgbColor rgb="FF993366"/>
      <rgbColor rgb="FFFFF9C4"/>
      <rgbColor rgb="FFEAF2F8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9E7"/>
      <rgbColor rgb="FFCCFFCC"/>
      <rgbColor rgb="FFFDEBD0"/>
      <rgbColor rgb="FFAED6F1"/>
      <rgbColor rgb="FFFF99CC"/>
      <rgbColor rgb="FFCC99FF"/>
      <rgbColor rgb="FFFFCDD2"/>
      <rgbColor rgb="FF3366FF"/>
      <rgbColor rgb="FF33CCCC"/>
      <rgbColor rgb="FF99CC00"/>
      <rgbColor rgb="FFF1C40F"/>
      <rgbColor rgb="FFF39C12"/>
      <rgbColor rgb="FFE67E22"/>
      <rgbColor rgb="FF666699"/>
      <rgbColor rgb="FF999999"/>
      <rgbColor rgb="FF0B3D91"/>
      <rgbColor rgb="FF27AE60"/>
      <rgbColor rgb="FF003300"/>
      <rgbColor rgb="FF333300"/>
      <rgbColor rgb="FFC0392B"/>
      <rgbColor rgb="FF993366"/>
      <rgbColor rgb="FF5B2C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6" min="4" style="0" width="7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45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6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6" hidden="false" customHeight="true" outlineLevel="0" collapsed="false"/>
    <row r="3" customFormat="false" ht="48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customFormat="false" ht="75" hidden="false" customHeight="true" outlineLevel="0" collapsed="false">
      <c r="A4" s="3" t="s">
        <v>16</v>
      </c>
      <c r="B4" s="4" t="s">
        <v>17</v>
      </c>
      <c r="C4" s="5" t="s">
        <v>18</v>
      </c>
      <c r="D4" s="6" t="s">
        <v>19</v>
      </c>
      <c r="E4" s="6" t="s">
        <v>19</v>
      </c>
      <c r="F4" s="6" t="s">
        <v>19</v>
      </c>
      <c r="G4" s="6" t="n">
        <v>4</v>
      </c>
      <c r="H4" s="6" t="n">
        <v>5</v>
      </c>
      <c r="I4" s="3" t="str">
        <f aca="false">IF(G4*H4&gt;=20,"CRITIQUE",IF(G4*H4&gt;=12,"HAUT",IF(G4*H4&gt;=6,"MOYEN",IF(G4*H4&gt;=3,"BAS","TRES BAS"))))</f>
        <v>CRITIQUE</v>
      </c>
      <c r="J4" s="6" t="n">
        <v>9.8</v>
      </c>
      <c r="K4" s="5" t="s">
        <v>20</v>
      </c>
      <c r="L4" s="7" t="s">
        <v>21</v>
      </c>
      <c r="M4" s="6" t="s">
        <v>22</v>
      </c>
      <c r="N4" s="5" t="s">
        <v>23</v>
      </c>
      <c r="O4" s="8" t="s">
        <v>24</v>
      </c>
    </row>
    <row r="5" customFormat="false" ht="75" hidden="false" customHeight="true" outlineLevel="0" collapsed="false">
      <c r="A5" s="3" t="s">
        <v>25</v>
      </c>
      <c r="B5" s="4" t="s">
        <v>26</v>
      </c>
      <c r="C5" s="5" t="s">
        <v>27</v>
      </c>
      <c r="D5" s="6" t="s">
        <v>19</v>
      </c>
      <c r="E5" s="6" t="s">
        <v>19</v>
      </c>
      <c r="F5" s="6" t="s">
        <v>28</v>
      </c>
      <c r="G5" s="6" t="n">
        <v>5</v>
      </c>
      <c r="H5" s="6" t="n">
        <v>4</v>
      </c>
      <c r="I5" s="3" t="str">
        <f aca="false">IF(G5*H5&gt;=20,"CRITIQUE",IF(G5*H5&gt;=12,"HAUT",IF(G5*H5&gt;=6,"MOYEN",IF(G5*H5&gt;=3,"BAS","TRES BAS"))))</f>
        <v>CRITIQUE</v>
      </c>
      <c r="J5" s="6" t="n">
        <v>8.1</v>
      </c>
      <c r="K5" s="5" t="s">
        <v>29</v>
      </c>
      <c r="L5" s="7" t="s">
        <v>21</v>
      </c>
      <c r="M5" s="6" t="s">
        <v>22</v>
      </c>
      <c r="N5" s="5" t="s">
        <v>30</v>
      </c>
      <c r="O5" s="8" t="s">
        <v>24</v>
      </c>
    </row>
    <row r="6" customFormat="false" ht="75" hidden="false" customHeight="true" outlineLevel="0" collapsed="false">
      <c r="A6" s="3" t="s">
        <v>31</v>
      </c>
      <c r="B6" s="4" t="s">
        <v>32</v>
      </c>
      <c r="C6" s="5" t="s">
        <v>33</v>
      </c>
      <c r="D6" s="6" t="s">
        <v>19</v>
      </c>
      <c r="E6" s="6" t="s">
        <v>19</v>
      </c>
      <c r="F6" s="6" t="s">
        <v>34</v>
      </c>
      <c r="G6" s="6" t="n">
        <v>4</v>
      </c>
      <c r="H6" s="6" t="n">
        <v>5</v>
      </c>
      <c r="I6" s="3" t="str">
        <f aca="false">IF(G6*H6&gt;=20,"CRITIQUE",IF(G6*H6&gt;=12,"HAUT",IF(G6*H6&gt;=6,"MOYEN",IF(G6*H6&gt;=3,"BAS","TRES BAS"))))</f>
        <v>CRITIQUE</v>
      </c>
      <c r="J6" s="6" t="n">
        <v>7.5</v>
      </c>
      <c r="K6" s="5" t="s">
        <v>35</v>
      </c>
      <c r="L6" s="7" t="s">
        <v>21</v>
      </c>
      <c r="M6" s="6" t="s">
        <v>36</v>
      </c>
      <c r="N6" s="5" t="s">
        <v>37</v>
      </c>
      <c r="O6" s="8" t="s">
        <v>24</v>
      </c>
    </row>
    <row r="7" customFormat="false" ht="75" hidden="false" customHeight="true" outlineLevel="0" collapsed="false">
      <c r="A7" s="3" t="s">
        <v>38</v>
      </c>
      <c r="B7" s="4" t="s">
        <v>39</v>
      </c>
      <c r="C7" s="5" t="s">
        <v>40</v>
      </c>
      <c r="D7" s="6" t="s">
        <v>19</v>
      </c>
      <c r="E7" s="6" t="s">
        <v>28</v>
      </c>
      <c r="F7" s="6" t="s">
        <v>28</v>
      </c>
      <c r="G7" s="6" t="n">
        <v>4</v>
      </c>
      <c r="H7" s="6" t="n">
        <v>4</v>
      </c>
      <c r="I7" s="3" t="str">
        <f aca="false">IF(G7*H7&gt;=20,"CRITIQUE",IF(G7*H7&gt;=12,"HAUT",IF(G7*H7&gt;=6,"MOYEN",IF(G7*H7&gt;=3,"BAS","TRES BAS"))))</f>
        <v>HAUT</v>
      </c>
      <c r="J7" s="6" t="n">
        <v>7.5</v>
      </c>
      <c r="K7" s="5" t="s">
        <v>41</v>
      </c>
      <c r="L7" s="9" t="s">
        <v>42</v>
      </c>
      <c r="M7" s="6" t="s">
        <v>22</v>
      </c>
      <c r="N7" s="5" t="s">
        <v>43</v>
      </c>
      <c r="O7" s="8" t="s">
        <v>24</v>
      </c>
    </row>
    <row r="8" customFormat="false" ht="75" hidden="false" customHeight="true" outlineLevel="0" collapsed="false">
      <c r="A8" s="3" t="s">
        <v>44</v>
      </c>
      <c r="B8" s="4" t="s">
        <v>45</v>
      </c>
      <c r="C8" s="5" t="s">
        <v>46</v>
      </c>
      <c r="D8" s="6" t="s">
        <v>34</v>
      </c>
      <c r="E8" s="6" t="s">
        <v>34</v>
      </c>
      <c r="F8" s="6" t="s">
        <v>47</v>
      </c>
      <c r="G8" s="6" t="n">
        <v>5</v>
      </c>
      <c r="H8" s="6" t="n">
        <v>3</v>
      </c>
      <c r="I8" s="3" t="str">
        <f aca="false">IF(G8*H8&gt;=20,"CRITIQUE",IF(G8*H8&gt;=12,"HAUT",IF(G8*H8&gt;=6,"MOYEN",IF(G8*H8&gt;=3,"BAS","TRES BAS"))))</f>
        <v>HAUT</v>
      </c>
      <c r="J8" s="6" t="n">
        <v>7.5</v>
      </c>
      <c r="K8" s="5" t="s">
        <v>48</v>
      </c>
      <c r="L8" s="9" t="s">
        <v>42</v>
      </c>
      <c r="M8" s="6" t="s">
        <v>36</v>
      </c>
      <c r="N8" s="5" t="s">
        <v>49</v>
      </c>
      <c r="O8" s="10" t="s">
        <v>50</v>
      </c>
    </row>
    <row r="9" customFormat="false" ht="75" hidden="false" customHeight="true" outlineLevel="0" collapsed="false">
      <c r="A9" s="3" t="s">
        <v>51</v>
      </c>
      <c r="B9" s="4" t="s">
        <v>52</v>
      </c>
      <c r="C9" s="5" t="s">
        <v>53</v>
      </c>
      <c r="D9" s="6" t="s">
        <v>34</v>
      </c>
      <c r="E9" s="6" t="s">
        <v>28</v>
      </c>
      <c r="F9" s="6" t="s">
        <v>28</v>
      </c>
      <c r="G9" s="6" t="n">
        <v>5</v>
      </c>
      <c r="H9" s="6" t="n">
        <v>3</v>
      </c>
      <c r="I9" s="3" t="str">
        <f aca="false">IF(G9*H9&gt;=20,"CRITIQUE",IF(G9*H9&gt;=12,"HAUT",IF(G9*H9&gt;=6,"MOYEN",IF(G9*H9&gt;=3,"BAS","TRES BAS"))))</f>
        <v>HAUT</v>
      </c>
      <c r="J9" s="6" t="n">
        <v>5.3</v>
      </c>
      <c r="K9" s="5" t="s">
        <v>54</v>
      </c>
      <c r="L9" s="9" t="s">
        <v>42</v>
      </c>
      <c r="M9" s="6" t="s">
        <v>22</v>
      </c>
      <c r="N9" s="5" t="s">
        <v>55</v>
      </c>
      <c r="O9" s="8" t="s">
        <v>24</v>
      </c>
    </row>
    <row r="10" customFormat="false" ht="75" hidden="false" customHeight="true" outlineLevel="0" collapsed="false">
      <c r="A10" s="3" t="s">
        <v>56</v>
      </c>
      <c r="B10" s="4" t="s">
        <v>57</v>
      </c>
      <c r="C10" s="5" t="s">
        <v>58</v>
      </c>
      <c r="D10" s="6" t="s">
        <v>34</v>
      </c>
      <c r="E10" s="6" t="s">
        <v>28</v>
      </c>
      <c r="F10" s="6" t="s">
        <v>28</v>
      </c>
      <c r="G10" s="6" t="n">
        <v>4</v>
      </c>
      <c r="H10" s="6" t="n">
        <v>3</v>
      </c>
      <c r="I10" s="3" t="str">
        <f aca="false">IF(G10*H10&gt;=20,"CRITIQUE",IF(G10*H10&gt;=12,"HAUT",IF(G10*H10&gt;=6,"MOYEN",IF(G10*H10&gt;=3,"BAS","TRES BAS"))))</f>
        <v>HAUT</v>
      </c>
      <c r="J10" s="6" t="n">
        <v>6.5</v>
      </c>
      <c r="K10" s="5" t="s">
        <v>59</v>
      </c>
      <c r="L10" s="9" t="s">
        <v>42</v>
      </c>
      <c r="M10" s="6" t="s">
        <v>60</v>
      </c>
      <c r="N10" s="5" t="s">
        <v>61</v>
      </c>
      <c r="O10" s="8" t="s">
        <v>24</v>
      </c>
    </row>
    <row r="11" customFormat="false" ht="75" hidden="false" customHeight="true" outlineLevel="0" collapsed="false">
      <c r="A11" s="3" t="s">
        <v>62</v>
      </c>
      <c r="B11" s="4" t="s">
        <v>63</v>
      </c>
      <c r="C11" s="5" t="s">
        <v>64</v>
      </c>
      <c r="D11" s="6" t="s">
        <v>19</v>
      </c>
      <c r="E11" s="6" t="s">
        <v>28</v>
      </c>
      <c r="F11" s="6" t="s">
        <v>28</v>
      </c>
      <c r="G11" s="6" t="n">
        <v>3</v>
      </c>
      <c r="H11" s="6" t="n">
        <v>4</v>
      </c>
      <c r="I11" s="3" t="str">
        <f aca="false">IF(G11*H11&gt;=20,"CRITIQUE",IF(G11*H11&gt;=12,"HAUT",IF(G11*H11&gt;=6,"MOYEN",IF(G11*H11&gt;=3,"BAS","TRES BAS"))))</f>
        <v>HAUT</v>
      </c>
      <c r="J11" s="6" t="n">
        <v>6.1</v>
      </c>
      <c r="K11" s="5" t="s">
        <v>65</v>
      </c>
      <c r="L11" s="7" t="s">
        <v>21</v>
      </c>
      <c r="M11" s="6" t="s">
        <v>60</v>
      </c>
      <c r="N11" s="5" t="s">
        <v>66</v>
      </c>
      <c r="O11" s="8" t="s">
        <v>24</v>
      </c>
    </row>
    <row r="12" customFormat="false" ht="75" hidden="false" customHeight="true" outlineLevel="0" collapsed="false">
      <c r="A12" s="3" t="s">
        <v>67</v>
      </c>
      <c r="B12" s="4" t="s">
        <v>68</v>
      </c>
      <c r="C12" s="5" t="s">
        <v>69</v>
      </c>
      <c r="D12" s="6" t="s">
        <v>34</v>
      </c>
      <c r="E12" s="6" t="s">
        <v>34</v>
      </c>
      <c r="F12" s="6" t="s">
        <v>47</v>
      </c>
      <c r="G12" s="6" t="n">
        <v>3</v>
      </c>
      <c r="H12" s="6" t="n">
        <v>3</v>
      </c>
      <c r="I12" s="3" t="str">
        <f aca="false">IF(G12*H12&gt;=20,"CRITIQUE",IF(G12*H12&gt;=12,"HAUT",IF(G12*H12&gt;=6,"MOYEN",IF(G12*H12&gt;=3,"BAS","TRES BAS"))))</f>
        <v>MOYEN</v>
      </c>
      <c r="J12" s="6" t="n">
        <v>5.5</v>
      </c>
      <c r="K12" s="5" t="s">
        <v>70</v>
      </c>
      <c r="L12" s="9" t="s">
        <v>42</v>
      </c>
      <c r="M12" s="6" t="s">
        <v>71</v>
      </c>
      <c r="N12" s="5" t="s">
        <v>72</v>
      </c>
      <c r="O12" s="8" t="s">
        <v>24</v>
      </c>
    </row>
    <row r="13" customFormat="false" ht="75" hidden="false" customHeight="true" outlineLevel="0" collapsed="false">
      <c r="A13" s="3" t="s">
        <v>73</v>
      </c>
      <c r="B13" s="4" t="s">
        <v>74</v>
      </c>
      <c r="C13" s="5" t="s">
        <v>75</v>
      </c>
      <c r="D13" s="6" t="s">
        <v>34</v>
      </c>
      <c r="E13" s="6" t="s">
        <v>28</v>
      </c>
      <c r="F13" s="6" t="s">
        <v>28</v>
      </c>
      <c r="G13" s="6" t="n">
        <v>3</v>
      </c>
      <c r="H13" s="6" t="n">
        <v>3</v>
      </c>
      <c r="I13" s="3" t="str">
        <f aca="false">IF(G13*H13&gt;=20,"CRITIQUE",IF(G13*H13&gt;=12,"HAUT",IF(G13*H13&gt;=6,"MOYEN",IF(G13*H13&gt;=3,"BAS","TRES BAS"))))</f>
        <v>MOYEN</v>
      </c>
      <c r="J13" s="6" t="n">
        <v>5</v>
      </c>
      <c r="K13" s="5" t="s">
        <v>76</v>
      </c>
      <c r="L13" s="7" t="s">
        <v>21</v>
      </c>
      <c r="M13" s="6" t="s">
        <v>77</v>
      </c>
      <c r="N13" s="5" t="s">
        <v>78</v>
      </c>
      <c r="O13" s="8" t="s">
        <v>24</v>
      </c>
    </row>
    <row r="16" customFormat="false" ht="23.85" hidden="false" customHeight="true" outlineLevel="0" collapsed="false">
      <c r="A16" s="4" t="s">
        <v>79</v>
      </c>
      <c r="B16" s="5" t="s">
        <v>80</v>
      </c>
      <c r="C16" s="5"/>
      <c r="D16" s="5"/>
      <c r="E16" s="5"/>
      <c r="F16" s="5"/>
      <c r="G16" s="5"/>
      <c r="H16" s="5"/>
    </row>
    <row r="17" customFormat="false" ht="23.85" hidden="false" customHeight="true" outlineLevel="0" collapsed="false">
      <c r="A17" s="4" t="s">
        <v>81</v>
      </c>
      <c r="B17" s="5" t="s">
        <v>82</v>
      </c>
      <c r="C17" s="5"/>
      <c r="D17" s="5"/>
      <c r="E17" s="5"/>
      <c r="F17" s="5"/>
      <c r="G17" s="5"/>
      <c r="H17" s="5"/>
    </row>
    <row r="18" customFormat="false" ht="23.85" hidden="false" customHeight="true" outlineLevel="0" collapsed="false">
      <c r="A18" s="4" t="s">
        <v>83</v>
      </c>
      <c r="B18" s="5" t="s">
        <v>84</v>
      </c>
      <c r="C18" s="5"/>
      <c r="D18" s="5"/>
      <c r="E18" s="5"/>
      <c r="F18" s="5"/>
      <c r="G18" s="5"/>
      <c r="H18" s="5"/>
    </row>
  </sheetData>
  <mergeCells count="4">
    <mergeCell ref="A1:M1"/>
    <mergeCell ref="B16:H16"/>
    <mergeCell ref="B17:H17"/>
    <mergeCell ref="B18:H18"/>
  </mergeCells>
  <conditionalFormatting sqref="I4:I13">
    <cfRule type="cellIs" priority="2" operator="equal" aboveAverage="0" equalAverage="0" bottom="0" percent="0" rank="0" text="" dxfId="0">
      <formula>"CRITIQUE"</formula>
    </cfRule>
    <cfRule type="cellIs" priority="3" operator="equal" aboveAverage="0" equalAverage="0" bottom="0" percent="0" rank="0" text="" dxfId="1">
      <formula>"HAUT"</formula>
    </cfRule>
    <cfRule type="cellIs" priority="4" operator="equal" aboveAverage="0" equalAverage="0" bottom="0" percent="0" rank="0" text="" dxfId="2">
      <formula>"MOYEN"</formula>
    </cfRule>
    <cfRule type="cellIs" priority="5" operator="equal" aboveAverage="0" equalAverage="0" bottom="0" percent="0" rank="0" text="" dxfId="3">
      <formula>"BAS"</formula>
    </cfRule>
    <cfRule type="cellIs" priority="6" operator="equal" aboveAverage="0" equalAverage="0" bottom="0" percent="0" rank="0" text="" dxfId="4">
      <formula>"TRES BAS"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3" customFormat="false" ht="24" hidden="false" customHeight="true" outlineLevel="0" collapsed="false">
      <c r="A3" s="11" t="s">
        <v>86</v>
      </c>
      <c r="B3" s="11"/>
      <c r="C3" s="11"/>
      <c r="D3" s="11"/>
      <c r="E3" s="11"/>
      <c r="F3" s="11"/>
      <c r="G3" s="11"/>
      <c r="H3" s="11"/>
    </row>
    <row r="4" customFormat="false" ht="31.5" hidden="false" customHeight="true" outlineLevel="0" collapsed="false">
      <c r="A4" s="2" t="s">
        <v>87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12</v>
      </c>
      <c r="H4" s="2" t="s">
        <v>93</v>
      </c>
    </row>
    <row r="5" customFormat="false" ht="49.5" hidden="false" customHeight="true" outlineLevel="0" collapsed="false">
      <c r="A5" s="3" t="s">
        <v>94</v>
      </c>
      <c r="B5" s="4" t="s">
        <v>95</v>
      </c>
      <c r="C5" s="5" t="s">
        <v>96</v>
      </c>
      <c r="D5" s="6" t="s">
        <v>97</v>
      </c>
      <c r="E5" s="6" t="n">
        <v>5.3</v>
      </c>
      <c r="F5" s="5" t="s">
        <v>98</v>
      </c>
      <c r="G5" s="9" t="s">
        <v>42</v>
      </c>
      <c r="H5" s="5" t="s">
        <v>99</v>
      </c>
    </row>
    <row r="6" customFormat="false" ht="49.5" hidden="false" customHeight="true" outlineLevel="0" collapsed="false">
      <c r="A6" s="3" t="s">
        <v>100</v>
      </c>
      <c r="B6" s="4" t="s">
        <v>101</v>
      </c>
      <c r="C6" s="5" t="s">
        <v>102</v>
      </c>
      <c r="D6" s="6" t="s">
        <v>103</v>
      </c>
      <c r="E6" s="6" t="n">
        <v>9.8</v>
      </c>
      <c r="F6" s="5" t="s">
        <v>98</v>
      </c>
      <c r="G6" s="7" t="s">
        <v>21</v>
      </c>
      <c r="H6" s="5" t="s">
        <v>23</v>
      </c>
    </row>
    <row r="7" customFormat="false" ht="49.5" hidden="false" customHeight="true" outlineLevel="0" collapsed="false">
      <c r="A7" s="3" t="s">
        <v>104</v>
      </c>
      <c r="B7" s="4" t="s">
        <v>105</v>
      </c>
      <c r="C7" s="5" t="s">
        <v>106</v>
      </c>
      <c r="D7" s="6" t="s">
        <v>97</v>
      </c>
      <c r="E7" s="6" t="n">
        <v>8.1</v>
      </c>
      <c r="F7" s="5" t="s">
        <v>107</v>
      </c>
      <c r="G7" s="7" t="s">
        <v>21</v>
      </c>
      <c r="H7" s="5" t="s">
        <v>108</v>
      </c>
    </row>
    <row r="8" customFormat="false" ht="49.5" hidden="false" customHeight="true" outlineLevel="0" collapsed="false">
      <c r="A8" s="3" t="s">
        <v>109</v>
      </c>
      <c r="B8" s="4" t="s">
        <v>110</v>
      </c>
      <c r="C8" s="5" t="s">
        <v>111</v>
      </c>
      <c r="D8" s="6" t="s">
        <v>97</v>
      </c>
      <c r="E8" s="6" t="n">
        <v>6.5</v>
      </c>
      <c r="F8" s="5" t="s">
        <v>98</v>
      </c>
      <c r="G8" s="9" t="s">
        <v>42</v>
      </c>
      <c r="H8" s="5" t="s">
        <v>112</v>
      </c>
    </row>
    <row r="9" customFormat="false" ht="49.5" hidden="false" customHeight="true" outlineLevel="0" collapsed="false">
      <c r="A9" s="3" t="s">
        <v>113</v>
      </c>
      <c r="B9" s="4" t="s">
        <v>114</v>
      </c>
      <c r="C9" s="5" t="s">
        <v>115</v>
      </c>
      <c r="D9" s="6" t="s">
        <v>103</v>
      </c>
      <c r="E9" s="6" t="n">
        <v>5.5</v>
      </c>
      <c r="F9" s="5" t="s">
        <v>116</v>
      </c>
      <c r="G9" s="9" t="s">
        <v>42</v>
      </c>
      <c r="H9" s="5" t="s">
        <v>72</v>
      </c>
    </row>
    <row r="10" customFormat="false" ht="49.5" hidden="false" customHeight="true" outlineLevel="0" collapsed="false">
      <c r="A10" s="3" t="s">
        <v>117</v>
      </c>
      <c r="B10" s="4" t="s">
        <v>118</v>
      </c>
      <c r="C10" s="5" t="s">
        <v>119</v>
      </c>
      <c r="D10" s="6" t="s">
        <v>120</v>
      </c>
      <c r="E10" s="6" t="n">
        <v>7.5</v>
      </c>
      <c r="F10" s="5" t="s">
        <v>98</v>
      </c>
      <c r="G10" s="9" t="s">
        <v>42</v>
      </c>
      <c r="H10" s="5" t="s">
        <v>121</v>
      </c>
    </row>
    <row r="12" customFormat="false" ht="24" hidden="false" customHeight="true" outlineLevel="0" collapsed="false">
      <c r="A12" s="12" t="s">
        <v>122</v>
      </c>
      <c r="B12" s="12"/>
      <c r="C12" s="12"/>
      <c r="D12" s="12"/>
      <c r="E12" s="12"/>
      <c r="F12" s="12"/>
      <c r="G12" s="12"/>
      <c r="H12" s="12"/>
    </row>
    <row r="13" customFormat="false" ht="31.5" hidden="false" customHeight="true" outlineLevel="0" collapsed="false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12</v>
      </c>
      <c r="H13" s="2" t="s">
        <v>93</v>
      </c>
    </row>
    <row r="14" customFormat="false" ht="49.5" hidden="false" customHeight="true" outlineLevel="0" collapsed="false">
      <c r="A14" s="3" t="s">
        <v>123</v>
      </c>
      <c r="B14" s="4" t="s">
        <v>124</v>
      </c>
      <c r="C14" s="5" t="s">
        <v>125</v>
      </c>
      <c r="D14" s="6" t="s">
        <v>126</v>
      </c>
      <c r="E14" s="6" t="n">
        <v>7.5</v>
      </c>
      <c r="F14" s="5" t="s">
        <v>127</v>
      </c>
      <c r="G14" s="7" t="s">
        <v>21</v>
      </c>
      <c r="H14" s="5" t="s">
        <v>128</v>
      </c>
    </row>
    <row r="15" customFormat="false" ht="49.5" hidden="false" customHeight="true" outlineLevel="0" collapsed="false">
      <c r="A15" s="3" t="s">
        <v>129</v>
      </c>
      <c r="B15" s="4" t="s">
        <v>130</v>
      </c>
      <c r="C15" s="5" t="s">
        <v>131</v>
      </c>
      <c r="D15" s="6" t="s">
        <v>132</v>
      </c>
      <c r="E15" s="6" t="n">
        <v>7</v>
      </c>
      <c r="F15" s="5" t="s">
        <v>133</v>
      </c>
      <c r="G15" s="7" t="s">
        <v>21</v>
      </c>
      <c r="H15" s="5" t="s">
        <v>134</v>
      </c>
    </row>
    <row r="16" customFormat="false" ht="49.5" hidden="false" customHeight="true" outlineLevel="0" collapsed="false">
      <c r="A16" s="3" t="s">
        <v>135</v>
      </c>
      <c r="B16" s="4" t="s">
        <v>136</v>
      </c>
      <c r="C16" s="5" t="s">
        <v>137</v>
      </c>
      <c r="D16" s="6" t="s">
        <v>126</v>
      </c>
      <c r="E16" s="6" t="n">
        <v>8.1</v>
      </c>
      <c r="F16" s="5" t="s">
        <v>107</v>
      </c>
      <c r="G16" s="7" t="s">
        <v>21</v>
      </c>
      <c r="H16" s="5" t="s">
        <v>138</v>
      </c>
    </row>
    <row r="17" customFormat="false" ht="49.5" hidden="false" customHeight="true" outlineLevel="0" collapsed="false">
      <c r="A17" s="3" t="s">
        <v>139</v>
      </c>
      <c r="B17" s="4" t="s">
        <v>140</v>
      </c>
      <c r="C17" s="5" t="s">
        <v>141</v>
      </c>
      <c r="D17" s="6" t="s">
        <v>120</v>
      </c>
      <c r="E17" s="6" t="n">
        <v>7.5</v>
      </c>
      <c r="F17" s="5" t="s">
        <v>142</v>
      </c>
      <c r="G17" s="9" t="s">
        <v>42</v>
      </c>
      <c r="H17" s="5" t="s">
        <v>143</v>
      </c>
    </row>
    <row r="18" customFormat="false" ht="49.5" hidden="false" customHeight="true" outlineLevel="0" collapsed="false">
      <c r="A18" s="3" t="s">
        <v>144</v>
      </c>
      <c r="B18" s="4" t="s">
        <v>145</v>
      </c>
      <c r="C18" s="5" t="s">
        <v>146</v>
      </c>
      <c r="D18" s="6" t="s">
        <v>103</v>
      </c>
      <c r="E18" s="6" t="n">
        <v>6.1</v>
      </c>
      <c r="F18" s="5" t="s">
        <v>147</v>
      </c>
      <c r="G18" s="7" t="s">
        <v>21</v>
      </c>
      <c r="H18" s="5" t="s">
        <v>148</v>
      </c>
    </row>
    <row r="19" customFormat="false" ht="49.5" hidden="false" customHeight="true" outlineLevel="0" collapsed="false">
      <c r="A19" s="3" t="s">
        <v>149</v>
      </c>
      <c r="B19" s="4" t="s">
        <v>150</v>
      </c>
      <c r="C19" s="5" t="s">
        <v>151</v>
      </c>
      <c r="D19" s="6" t="s">
        <v>132</v>
      </c>
      <c r="E19" s="6" t="n">
        <v>7.5</v>
      </c>
      <c r="F19" s="5" t="s">
        <v>152</v>
      </c>
      <c r="G19" s="9" t="s">
        <v>42</v>
      </c>
      <c r="H19" s="5" t="s">
        <v>153</v>
      </c>
    </row>
    <row r="20" customFormat="false" ht="49.5" hidden="false" customHeight="true" outlineLevel="0" collapsed="false">
      <c r="A20" s="3" t="s">
        <v>154</v>
      </c>
      <c r="B20" s="4" t="s">
        <v>155</v>
      </c>
      <c r="C20" s="5" t="s">
        <v>156</v>
      </c>
      <c r="D20" s="6" t="s">
        <v>103</v>
      </c>
      <c r="E20" s="6" t="n">
        <v>5</v>
      </c>
      <c r="F20" s="5" t="s">
        <v>157</v>
      </c>
      <c r="G20" s="7" t="s">
        <v>21</v>
      </c>
      <c r="H20" s="5" t="s">
        <v>158</v>
      </c>
    </row>
    <row r="22" customFormat="false" ht="24" hidden="false" customHeight="true" outlineLevel="0" collapsed="false">
      <c r="A22" s="13" t="s">
        <v>159</v>
      </c>
      <c r="B22" s="13"/>
      <c r="C22" s="13"/>
      <c r="D22" s="13"/>
      <c r="E22" s="13"/>
      <c r="F22" s="13"/>
      <c r="G22" s="13"/>
      <c r="H22" s="13"/>
    </row>
    <row r="23" customFormat="false" ht="31.5" hidden="false" customHeight="true" outlineLevel="0" collapsed="false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92</v>
      </c>
      <c r="G23" s="2" t="s">
        <v>12</v>
      </c>
      <c r="H23" s="2" t="s">
        <v>93</v>
      </c>
    </row>
    <row r="24" customFormat="false" ht="49.5" hidden="false" customHeight="true" outlineLevel="0" collapsed="false">
      <c r="A24" s="3" t="s">
        <v>160</v>
      </c>
      <c r="B24" s="4" t="s">
        <v>161</v>
      </c>
      <c r="C24" s="5" t="s">
        <v>162</v>
      </c>
      <c r="D24" s="6" t="s">
        <v>132</v>
      </c>
      <c r="E24" s="6"/>
      <c r="F24" s="5" t="s">
        <v>98</v>
      </c>
      <c r="G24" s="7" t="s">
        <v>21</v>
      </c>
      <c r="H24" s="5" t="s">
        <v>163</v>
      </c>
    </row>
    <row r="25" customFormat="false" ht="49.5" hidden="false" customHeight="true" outlineLevel="0" collapsed="false">
      <c r="A25" s="3" t="s">
        <v>164</v>
      </c>
      <c r="B25" s="4" t="s">
        <v>165</v>
      </c>
      <c r="C25" s="5" t="s">
        <v>166</v>
      </c>
      <c r="D25" s="6" t="s">
        <v>120</v>
      </c>
      <c r="E25" s="6"/>
      <c r="F25" s="5" t="s">
        <v>98</v>
      </c>
      <c r="G25" s="9" t="s">
        <v>42</v>
      </c>
      <c r="H25" s="5" t="s">
        <v>167</v>
      </c>
    </row>
    <row r="26" customFormat="false" ht="49.5" hidden="false" customHeight="true" outlineLevel="0" collapsed="false">
      <c r="A26" s="3" t="s">
        <v>168</v>
      </c>
      <c r="B26" s="4" t="s">
        <v>169</v>
      </c>
      <c r="C26" s="5" t="s">
        <v>170</v>
      </c>
      <c r="D26" s="6" t="s">
        <v>126</v>
      </c>
      <c r="E26" s="6"/>
      <c r="F26" s="5" t="s">
        <v>171</v>
      </c>
      <c r="G26" s="9" t="s">
        <v>42</v>
      </c>
      <c r="H26" s="5" t="s">
        <v>172</v>
      </c>
    </row>
    <row r="27" customFormat="false" ht="49.5" hidden="false" customHeight="true" outlineLevel="0" collapsed="false">
      <c r="A27" s="3" t="s">
        <v>173</v>
      </c>
      <c r="B27" s="4" t="s">
        <v>174</v>
      </c>
      <c r="C27" s="5" t="s">
        <v>175</v>
      </c>
      <c r="D27" s="6" t="s">
        <v>126</v>
      </c>
      <c r="E27" s="6"/>
      <c r="F27" s="5" t="s">
        <v>176</v>
      </c>
      <c r="G27" s="14" t="s">
        <v>177</v>
      </c>
      <c r="H27" s="5" t="s">
        <v>178</v>
      </c>
    </row>
    <row r="28" customFormat="false" ht="49.5" hidden="false" customHeight="true" outlineLevel="0" collapsed="false">
      <c r="A28" s="3" t="s">
        <v>179</v>
      </c>
      <c r="B28" s="4" t="s">
        <v>180</v>
      </c>
      <c r="C28" s="5" t="s">
        <v>181</v>
      </c>
      <c r="D28" s="6" t="s">
        <v>120</v>
      </c>
      <c r="E28" s="6"/>
      <c r="F28" s="5" t="s">
        <v>182</v>
      </c>
      <c r="G28" s="7" t="s">
        <v>21</v>
      </c>
      <c r="H28" s="5" t="s">
        <v>183</v>
      </c>
    </row>
    <row r="29" customFormat="false" ht="49.5" hidden="false" customHeight="true" outlineLevel="0" collapsed="false">
      <c r="A29" s="3" t="s">
        <v>184</v>
      </c>
      <c r="B29" s="4" t="s">
        <v>185</v>
      </c>
      <c r="C29" s="5" t="s">
        <v>186</v>
      </c>
      <c r="D29" s="6" t="s">
        <v>126</v>
      </c>
      <c r="E29" s="6"/>
      <c r="F29" s="5" t="s">
        <v>187</v>
      </c>
      <c r="G29" s="7" t="s">
        <v>21</v>
      </c>
      <c r="H29" s="5" t="s">
        <v>188</v>
      </c>
    </row>
    <row r="32" customFormat="false" ht="15" hidden="false" customHeight="true" outlineLevel="0" collapsed="false">
      <c r="A32" s="15" t="s">
        <v>189</v>
      </c>
      <c r="B32" s="15"/>
      <c r="C32" s="15"/>
      <c r="D32" s="15"/>
      <c r="E32" s="15"/>
      <c r="F32" s="15"/>
      <c r="G32" s="15"/>
      <c r="H32" s="15"/>
    </row>
    <row r="33" customFormat="false" ht="23.85" hidden="false" customHeight="false" outlineLevel="0" collapsed="false">
      <c r="B33" s="16" t="s">
        <v>190</v>
      </c>
      <c r="C33" s="17" t="s">
        <v>191</v>
      </c>
      <c r="D33" s="17" t="s">
        <v>192</v>
      </c>
    </row>
    <row r="34" customFormat="false" ht="15" hidden="false" customHeight="false" outlineLevel="0" collapsed="false">
      <c r="B34" s="5" t="s">
        <v>193</v>
      </c>
      <c r="C34" s="6" t="n">
        <v>6</v>
      </c>
      <c r="D34" s="6" t="n">
        <f aca="false">SUM(D4:D9)</f>
        <v>0</v>
      </c>
    </row>
    <row r="35" customFormat="false" ht="15" hidden="false" customHeight="false" outlineLevel="0" collapsed="false">
      <c r="B35" s="5" t="s">
        <v>194</v>
      </c>
      <c r="C35" s="6" t="n">
        <v>7</v>
      </c>
      <c r="D35" s="6" t="n">
        <f aca="false">SUM(D13:D19)</f>
        <v>0</v>
      </c>
    </row>
    <row r="36" customFormat="false" ht="15" hidden="false" customHeight="false" outlineLevel="0" collapsed="false">
      <c r="B36" s="5" t="s">
        <v>195</v>
      </c>
      <c r="C36" s="6" t="n">
        <v>6</v>
      </c>
      <c r="D36" s="6" t="n">
        <f aca="false">SUM(D23:D28)</f>
        <v>0</v>
      </c>
    </row>
    <row r="37" customFormat="false" ht="15" hidden="false" customHeight="false" outlineLevel="0" collapsed="false">
      <c r="B37" s="16" t="s">
        <v>196</v>
      </c>
      <c r="C37" s="17" t="n">
        <v>19</v>
      </c>
      <c r="D37" s="17" t="n">
        <f aca="false">SUM(D34:D36)</f>
        <v>0</v>
      </c>
    </row>
  </sheetData>
  <mergeCells count="5">
    <mergeCell ref="A1:H1"/>
    <mergeCell ref="A3:H3"/>
    <mergeCell ref="A12:H12"/>
    <mergeCell ref="A22:H22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31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18"/>
      <c r="B3" s="19" t="s">
        <v>198</v>
      </c>
    </row>
    <row r="4" customFormat="false" ht="36" hidden="false" customHeight="true" outlineLevel="0" collapsed="false">
      <c r="B4" s="19"/>
      <c r="C4" s="19" t="s">
        <v>199</v>
      </c>
      <c r="D4" s="19" t="s">
        <v>200</v>
      </c>
      <c r="E4" s="19" t="s">
        <v>201</v>
      </c>
      <c r="F4" s="19" t="s">
        <v>202</v>
      </c>
      <c r="G4" s="19" t="s">
        <v>203</v>
      </c>
    </row>
    <row r="5" customFormat="false" ht="39.75" hidden="false" customHeight="true" outlineLevel="0" collapsed="false">
      <c r="B5" s="19" t="s">
        <v>204</v>
      </c>
      <c r="C5" s="20" t="s">
        <v>205</v>
      </c>
      <c r="D5" s="21" t="s">
        <v>206</v>
      </c>
      <c r="E5" s="22" t="s">
        <v>207</v>
      </c>
      <c r="F5" s="23" t="s">
        <v>208</v>
      </c>
      <c r="G5" s="23" t="s">
        <v>209</v>
      </c>
    </row>
    <row r="6" customFormat="false" ht="39.75" hidden="false" customHeight="true" outlineLevel="0" collapsed="false">
      <c r="B6" s="19" t="s">
        <v>210</v>
      </c>
      <c r="C6" s="20" t="s">
        <v>211</v>
      </c>
      <c r="D6" s="21" t="s">
        <v>212</v>
      </c>
      <c r="E6" s="22" t="s">
        <v>213</v>
      </c>
      <c r="F6" s="22" t="s">
        <v>214</v>
      </c>
      <c r="G6" s="23" t="s">
        <v>208</v>
      </c>
    </row>
    <row r="7" customFormat="false" ht="39.75" hidden="false" customHeight="true" outlineLevel="0" collapsed="false">
      <c r="B7" s="19" t="s">
        <v>215</v>
      </c>
      <c r="C7" s="20" t="s">
        <v>216</v>
      </c>
      <c r="D7" s="21" t="s">
        <v>217</v>
      </c>
      <c r="E7" s="21" t="s">
        <v>218</v>
      </c>
      <c r="F7" s="22" t="s">
        <v>213</v>
      </c>
      <c r="G7" s="22" t="s">
        <v>207</v>
      </c>
    </row>
    <row r="8" customFormat="false" ht="39.75" hidden="false" customHeight="true" outlineLevel="0" collapsed="false">
      <c r="B8" s="19" t="s">
        <v>219</v>
      </c>
      <c r="C8" s="24" t="s">
        <v>220</v>
      </c>
      <c r="D8" s="20" t="s">
        <v>211</v>
      </c>
      <c r="E8" s="21" t="s">
        <v>217</v>
      </c>
      <c r="F8" s="21" t="s">
        <v>212</v>
      </c>
      <c r="G8" s="21" t="s">
        <v>206</v>
      </c>
    </row>
    <row r="9" customFormat="false" ht="39.75" hidden="false" customHeight="true" outlineLevel="0" collapsed="false">
      <c r="B9" s="19" t="s">
        <v>221</v>
      </c>
      <c r="C9" s="24" t="s">
        <v>222</v>
      </c>
      <c r="D9" s="24" t="s">
        <v>220</v>
      </c>
      <c r="E9" s="20" t="s">
        <v>216</v>
      </c>
      <c r="F9" s="20" t="s">
        <v>211</v>
      </c>
      <c r="G9" s="20" t="s">
        <v>205</v>
      </c>
    </row>
    <row r="12" customFormat="false" ht="15" hidden="false" customHeight="false" outlineLevel="0" collapsed="false">
      <c r="B12" s="4" t="s">
        <v>79</v>
      </c>
    </row>
    <row r="13" customFormat="false" ht="15" hidden="false" customHeight="true" outlineLevel="0" collapsed="false">
      <c r="B13" s="23" t="s">
        <v>223</v>
      </c>
      <c r="C13" s="5" t="s">
        <v>224</v>
      </c>
      <c r="D13" s="5"/>
      <c r="E13" s="5"/>
      <c r="F13" s="5"/>
      <c r="G13" s="5"/>
    </row>
    <row r="14" customFormat="false" ht="15" hidden="false" customHeight="true" outlineLevel="0" collapsed="false">
      <c r="B14" s="22" t="s">
        <v>225</v>
      </c>
      <c r="C14" s="5" t="s">
        <v>226</v>
      </c>
      <c r="D14" s="5"/>
      <c r="E14" s="5"/>
      <c r="F14" s="5"/>
      <c r="G14" s="5"/>
    </row>
    <row r="15" customFormat="false" ht="15" hidden="false" customHeight="true" outlineLevel="0" collapsed="false">
      <c r="B15" s="21" t="s">
        <v>227</v>
      </c>
      <c r="C15" s="5" t="s">
        <v>228</v>
      </c>
      <c r="D15" s="5"/>
      <c r="E15" s="5"/>
      <c r="F15" s="5"/>
      <c r="G15" s="5"/>
    </row>
    <row r="16" customFormat="false" ht="15" hidden="false" customHeight="true" outlineLevel="0" collapsed="false">
      <c r="B16" s="20" t="s">
        <v>229</v>
      </c>
      <c r="C16" s="5" t="s">
        <v>230</v>
      </c>
      <c r="D16" s="5"/>
      <c r="E16" s="5"/>
      <c r="F16" s="5"/>
      <c r="G16" s="5"/>
    </row>
    <row r="17" customFormat="false" ht="15" hidden="false" customHeight="true" outlineLevel="0" collapsed="false">
      <c r="B17" s="24" t="s">
        <v>231</v>
      </c>
      <c r="C17" s="5" t="s">
        <v>232</v>
      </c>
      <c r="D17" s="5"/>
      <c r="E17" s="5"/>
      <c r="F17" s="5"/>
      <c r="G17" s="5"/>
    </row>
  </sheetData>
  <mergeCells count="7">
    <mergeCell ref="A1:H1"/>
    <mergeCell ref="B3:B4"/>
    <mergeCell ref="C13:G13"/>
    <mergeCell ref="C14:G14"/>
    <mergeCell ref="C15:G15"/>
    <mergeCell ref="C16:G16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" t="s">
        <v>233</v>
      </c>
      <c r="B1" s="1"/>
      <c r="C1" s="1"/>
      <c r="D1" s="1"/>
    </row>
    <row r="3" customFormat="false" ht="31.5" hidden="false" customHeight="true" outlineLevel="0" collapsed="false">
      <c r="A3" s="2" t="s">
        <v>234</v>
      </c>
      <c r="B3" s="2" t="s">
        <v>235</v>
      </c>
      <c r="C3" s="2" t="s">
        <v>3</v>
      </c>
      <c r="D3" s="2" t="s">
        <v>236</v>
      </c>
    </row>
    <row r="4" customFormat="false" ht="49.5" hidden="false" customHeight="true" outlineLevel="0" collapsed="false">
      <c r="A4" s="6" t="s">
        <v>237</v>
      </c>
      <c r="B4" s="23" t="s">
        <v>223</v>
      </c>
      <c r="C4" s="5" t="s">
        <v>238</v>
      </c>
      <c r="D4" s="25" t="s">
        <v>239</v>
      </c>
    </row>
    <row r="5" customFormat="false" ht="49.5" hidden="false" customHeight="true" outlineLevel="0" collapsed="false">
      <c r="A5" s="6" t="s">
        <v>240</v>
      </c>
      <c r="B5" s="22" t="s">
        <v>225</v>
      </c>
      <c r="C5" s="5" t="s">
        <v>241</v>
      </c>
      <c r="D5" s="25" t="s">
        <v>242</v>
      </c>
    </row>
    <row r="6" customFormat="false" ht="49.5" hidden="false" customHeight="true" outlineLevel="0" collapsed="false">
      <c r="A6" s="6" t="s">
        <v>243</v>
      </c>
      <c r="B6" s="21" t="s">
        <v>227</v>
      </c>
      <c r="C6" s="5" t="s">
        <v>244</v>
      </c>
      <c r="D6" s="25" t="s">
        <v>245</v>
      </c>
    </row>
    <row r="7" customFormat="false" ht="49.5" hidden="false" customHeight="true" outlineLevel="0" collapsed="false">
      <c r="A7" s="6" t="s">
        <v>246</v>
      </c>
      <c r="B7" s="20" t="s">
        <v>229</v>
      </c>
      <c r="C7" s="5" t="s">
        <v>247</v>
      </c>
      <c r="D7" s="25" t="s">
        <v>248</v>
      </c>
    </row>
    <row r="8" customFormat="false" ht="49.5" hidden="false" customHeight="true" outlineLevel="0" collapsed="false">
      <c r="A8" s="6" t="s">
        <v>249</v>
      </c>
      <c r="B8" s="3" t="s">
        <v>250</v>
      </c>
      <c r="C8" s="5" t="s">
        <v>251</v>
      </c>
      <c r="D8" s="25" t="s">
        <v>252</v>
      </c>
    </row>
    <row r="11" customFormat="false" ht="22.35" hidden="false" customHeight="true" outlineLevel="0" collapsed="false">
      <c r="A11" s="26" t="s">
        <v>253</v>
      </c>
      <c r="B11" s="26"/>
      <c r="C11" s="26"/>
      <c r="D11" s="26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1" t="s">
        <v>254</v>
      </c>
      <c r="B1" s="1"/>
      <c r="C1" s="1"/>
      <c r="D1" s="1"/>
      <c r="E1" s="1"/>
    </row>
    <row r="3" customFormat="false" ht="31.5" hidden="false" customHeight="true" outlineLevel="0" collapsed="false">
      <c r="A3" s="2" t="s">
        <v>255</v>
      </c>
      <c r="B3" s="2" t="s">
        <v>256</v>
      </c>
      <c r="C3" s="2" t="s">
        <v>257</v>
      </c>
      <c r="D3" s="2" t="s">
        <v>258</v>
      </c>
      <c r="E3" s="2" t="s">
        <v>259</v>
      </c>
    </row>
    <row r="4" customFormat="false" ht="27.75" hidden="false" customHeight="true" outlineLevel="0" collapsed="false">
      <c r="A4" s="4" t="s">
        <v>260</v>
      </c>
      <c r="B4" s="27" t="n">
        <v>0.5</v>
      </c>
      <c r="C4" s="28" t="n">
        <v>0.5</v>
      </c>
      <c r="D4" s="29" t="n">
        <f aca="false">B4+C4</f>
        <v>1</v>
      </c>
      <c r="E4" s="25" t="s">
        <v>261</v>
      </c>
    </row>
    <row r="5" customFormat="false" ht="27.75" hidden="false" customHeight="true" outlineLevel="0" collapsed="false">
      <c r="A5" s="4" t="s">
        <v>262</v>
      </c>
      <c r="B5" s="27" t="n">
        <v>1</v>
      </c>
      <c r="C5" s="30" t="n">
        <v>0</v>
      </c>
      <c r="D5" s="29" t="n">
        <f aca="false">B5+C5</f>
        <v>1</v>
      </c>
      <c r="E5" s="25" t="s">
        <v>263</v>
      </c>
    </row>
    <row r="6" customFormat="false" ht="27.75" hidden="false" customHeight="true" outlineLevel="0" collapsed="false">
      <c r="A6" s="4" t="s">
        <v>264</v>
      </c>
      <c r="B6" s="27" t="n">
        <v>1</v>
      </c>
      <c r="C6" s="30" t="n">
        <v>0</v>
      </c>
      <c r="D6" s="29" t="n">
        <f aca="false">B6+C6</f>
        <v>1</v>
      </c>
      <c r="E6" s="25" t="s">
        <v>265</v>
      </c>
    </row>
    <row r="7" customFormat="false" ht="27.75" hidden="false" customHeight="true" outlineLevel="0" collapsed="false">
      <c r="A7" s="4" t="s">
        <v>266</v>
      </c>
      <c r="B7" s="27" t="n">
        <v>1</v>
      </c>
      <c r="C7" s="30" t="n">
        <v>0</v>
      </c>
      <c r="D7" s="29" t="n">
        <f aca="false">B7+C7</f>
        <v>1</v>
      </c>
      <c r="E7" s="25" t="s">
        <v>267</v>
      </c>
    </row>
    <row r="8" customFormat="false" ht="27.75" hidden="false" customHeight="true" outlineLevel="0" collapsed="false">
      <c r="A8" s="4" t="s">
        <v>268</v>
      </c>
      <c r="B8" s="27" t="n">
        <v>1</v>
      </c>
      <c r="C8" s="30" t="n">
        <v>0</v>
      </c>
      <c r="D8" s="29" t="n">
        <f aca="false">B8+C8</f>
        <v>1</v>
      </c>
      <c r="E8" s="25" t="s">
        <v>269</v>
      </c>
    </row>
    <row r="9" customFormat="false" ht="27.75" hidden="false" customHeight="true" outlineLevel="0" collapsed="false">
      <c r="A9" s="4" t="s">
        <v>270</v>
      </c>
      <c r="B9" s="27" t="n">
        <v>1</v>
      </c>
      <c r="C9" s="30" t="n">
        <v>0</v>
      </c>
      <c r="D9" s="29" t="n">
        <f aca="false">B9+C9</f>
        <v>1</v>
      </c>
      <c r="E9" s="25" t="s">
        <v>271</v>
      </c>
    </row>
    <row r="10" customFormat="false" ht="27.75" hidden="false" customHeight="true" outlineLevel="0" collapsed="false">
      <c r="A10" s="4" t="s">
        <v>272</v>
      </c>
      <c r="B10" s="30" t="n">
        <v>0</v>
      </c>
      <c r="C10" s="28" t="n">
        <v>1</v>
      </c>
      <c r="D10" s="29" t="n">
        <f aca="false">B10+C10</f>
        <v>1</v>
      </c>
      <c r="E10" s="25" t="s">
        <v>273</v>
      </c>
    </row>
    <row r="11" customFormat="false" ht="27.75" hidden="false" customHeight="true" outlineLevel="0" collapsed="false">
      <c r="A11" s="4" t="s">
        <v>274</v>
      </c>
      <c r="B11" s="30" t="n">
        <v>0</v>
      </c>
      <c r="C11" s="28" t="n">
        <v>1</v>
      </c>
      <c r="D11" s="29" t="n">
        <f aca="false">B11+C11</f>
        <v>1</v>
      </c>
      <c r="E11" s="25" t="s">
        <v>275</v>
      </c>
    </row>
    <row r="12" customFormat="false" ht="27.75" hidden="false" customHeight="true" outlineLevel="0" collapsed="false">
      <c r="A12" s="4" t="s">
        <v>276</v>
      </c>
      <c r="B12" s="30" t="n">
        <v>0</v>
      </c>
      <c r="C12" s="28" t="n">
        <v>1</v>
      </c>
      <c r="D12" s="29" t="n">
        <f aca="false">B12+C12</f>
        <v>1</v>
      </c>
      <c r="E12" s="25" t="s">
        <v>277</v>
      </c>
    </row>
    <row r="13" customFormat="false" ht="27.75" hidden="false" customHeight="true" outlineLevel="0" collapsed="false">
      <c r="A13" s="4" t="s">
        <v>278</v>
      </c>
      <c r="B13" s="30" t="n">
        <v>0</v>
      </c>
      <c r="C13" s="28" t="n">
        <v>1</v>
      </c>
      <c r="D13" s="29" t="n">
        <f aca="false">B13+C13</f>
        <v>1</v>
      </c>
      <c r="E13" s="25" t="s">
        <v>279</v>
      </c>
    </row>
    <row r="14" customFormat="false" ht="27.75" hidden="false" customHeight="true" outlineLevel="0" collapsed="false">
      <c r="A14" s="4" t="s">
        <v>280</v>
      </c>
      <c r="B14" s="27" t="n">
        <v>1</v>
      </c>
      <c r="C14" s="30" t="n">
        <v>0</v>
      </c>
      <c r="D14" s="29" t="n">
        <f aca="false">B14+C14</f>
        <v>1</v>
      </c>
      <c r="E14" s="25" t="s">
        <v>281</v>
      </c>
    </row>
    <row r="15" customFormat="false" ht="27.75" hidden="false" customHeight="true" outlineLevel="0" collapsed="false">
      <c r="A15" s="4" t="s">
        <v>282</v>
      </c>
      <c r="B15" s="30" t="n">
        <v>0</v>
      </c>
      <c r="C15" s="28" t="n">
        <v>1</v>
      </c>
      <c r="D15" s="29" t="n">
        <f aca="false">B15+C15</f>
        <v>1</v>
      </c>
      <c r="E15" s="25" t="s">
        <v>283</v>
      </c>
    </row>
    <row r="16" customFormat="false" ht="27.75" hidden="false" customHeight="true" outlineLevel="0" collapsed="false">
      <c r="A16" s="4" t="s">
        <v>284</v>
      </c>
      <c r="B16" s="30" t="n">
        <v>0</v>
      </c>
      <c r="C16" s="28" t="n">
        <v>1</v>
      </c>
      <c r="D16" s="29" t="n">
        <f aca="false">B16+C16</f>
        <v>1</v>
      </c>
      <c r="E16" s="25" t="s">
        <v>285</v>
      </c>
    </row>
    <row r="17" customFormat="false" ht="27.75" hidden="false" customHeight="true" outlineLevel="0" collapsed="false">
      <c r="A17" s="4" t="s">
        <v>286</v>
      </c>
      <c r="B17" s="27" t="n">
        <v>0.2</v>
      </c>
      <c r="C17" s="28" t="n">
        <v>0.8</v>
      </c>
      <c r="D17" s="29" t="n">
        <f aca="false">B17+C17</f>
        <v>1</v>
      </c>
      <c r="E17" s="25" t="s">
        <v>287</v>
      </c>
    </row>
    <row r="18" customFormat="false" ht="27.75" hidden="false" customHeight="true" outlineLevel="0" collapsed="false">
      <c r="A18" s="4" t="s">
        <v>288</v>
      </c>
      <c r="B18" s="27" t="n">
        <v>0.3</v>
      </c>
      <c r="C18" s="28" t="n">
        <v>0.7</v>
      </c>
      <c r="D18" s="29" t="n">
        <f aca="false">B18+C18</f>
        <v>1</v>
      </c>
      <c r="E18" s="25" t="s">
        <v>289</v>
      </c>
    </row>
    <row r="19" customFormat="false" ht="27.75" hidden="false" customHeight="true" outlineLevel="0" collapsed="false">
      <c r="A19" s="4" t="s">
        <v>290</v>
      </c>
      <c r="B19" s="27" t="n">
        <v>0.5</v>
      </c>
      <c r="C19" s="28" t="n">
        <v>0.5</v>
      </c>
      <c r="D19" s="29" t="n">
        <f aca="false">B19+C19</f>
        <v>1</v>
      </c>
      <c r="E19" s="25" t="s">
        <v>291</v>
      </c>
    </row>
    <row r="20" customFormat="false" ht="27.75" hidden="false" customHeight="true" outlineLevel="0" collapsed="false">
      <c r="A20" s="4" t="s">
        <v>292</v>
      </c>
      <c r="B20" s="27" t="n">
        <v>0.5</v>
      </c>
      <c r="C20" s="28" t="n">
        <v>0.5</v>
      </c>
      <c r="D20" s="29" t="n">
        <f aca="false">B20+C20</f>
        <v>1</v>
      </c>
      <c r="E20" s="25" t="s">
        <v>293</v>
      </c>
    </row>
    <row r="21" customFormat="false" ht="27.75" hidden="false" customHeight="true" outlineLevel="0" collapsed="false">
      <c r="A21" s="4" t="s">
        <v>294</v>
      </c>
      <c r="B21" s="27" t="n">
        <v>1</v>
      </c>
      <c r="C21" s="30" t="n">
        <v>0</v>
      </c>
      <c r="D21" s="29" t="n">
        <f aca="false">B21+C21</f>
        <v>1</v>
      </c>
      <c r="E21" s="25" t="s">
        <v>295</v>
      </c>
    </row>
    <row r="22" customFormat="false" ht="27.75" hidden="false" customHeight="true" outlineLevel="0" collapsed="false">
      <c r="A22" s="4" t="s">
        <v>296</v>
      </c>
      <c r="B22" s="30" t="n">
        <v>0</v>
      </c>
      <c r="C22" s="28" t="n">
        <v>1</v>
      </c>
      <c r="D22" s="29" t="n">
        <f aca="false">B22+C22</f>
        <v>1</v>
      </c>
      <c r="E22" s="25" t="s">
        <v>295</v>
      </c>
    </row>
    <row r="23" customFormat="false" ht="27.75" hidden="false" customHeight="true" outlineLevel="0" collapsed="false">
      <c r="A23" s="4" t="s">
        <v>297</v>
      </c>
      <c r="B23" s="27" t="n">
        <v>0.5</v>
      </c>
      <c r="C23" s="28" t="n">
        <v>0.5</v>
      </c>
      <c r="D23" s="29" t="n">
        <f aca="false">B23+C23</f>
        <v>1</v>
      </c>
      <c r="E23" s="25" t="s">
        <v>298</v>
      </c>
    </row>
    <row r="24" customFormat="false" ht="27.75" hidden="false" customHeight="true" outlineLevel="0" collapsed="false">
      <c r="A24" s="4" t="s">
        <v>299</v>
      </c>
      <c r="B24" s="27" t="n">
        <v>0.5</v>
      </c>
      <c r="C24" s="28" t="n">
        <v>0.5</v>
      </c>
      <c r="D24" s="29" t="n">
        <f aca="false">B24+C24</f>
        <v>1</v>
      </c>
      <c r="E24" s="25" t="s">
        <v>300</v>
      </c>
    </row>
    <row r="25" customFormat="false" ht="27.75" hidden="false" customHeight="true" outlineLevel="0" collapsed="false">
      <c r="A25" s="4" t="s">
        <v>301</v>
      </c>
      <c r="B25" s="27" t="n">
        <v>0.5</v>
      </c>
      <c r="C25" s="28" t="n">
        <v>0.5</v>
      </c>
      <c r="D25" s="29" t="n">
        <f aca="false">B25+C25</f>
        <v>1</v>
      </c>
      <c r="E25" s="25" t="s">
        <v>302</v>
      </c>
    </row>
    <row r="27" customFormat="false" ht="15" hidden="false" customHeight="false" outlineLevel="0" collapsed="false">
      <c r="A27" s="16" t="s">
        <v>303</v>
      </c>
      <c r="B27" s="31" t="n">
        <f aca="false">AVERAGE(B4:B25)</f>
        <v>0.477272727272727</v>
      </c>
      <c r="C27" s="32" t="n">
        <f aca="false">AVERAGE(C4:C25)</f>
        <v>0.522727272727273</v>
      </c>
      <c r="D27" s="33" t="n">
        <f aca="false">B27+C27</f>
        <v>1</v>
      </c>
    </row>
    <row r="29" customFormat="false" ht="39.75" hidden="false" customHeight="true" outlineLevel="0" collapsed="false">
      <c r="A29" s="26" t="s">
        <v>304</v>
      </c>
      <c r="B29" s="26"/>
      <c r="C29" s="26"/>
      <c r="D29" s="26"/>
      <c r="E29" s="26"/>
    </row>
  </sheetData>
  <mergeCells count="2">
    <mergeCell ref="A1:E1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2026-04-21T13:39:30Z</dcterms:created>
  <dc:creator>openpyxl</dc:creator>
  <dc:description/>
  <dc:language>en-US</dc:language>
  <cp:lastModifiedBy/>
  <dcterms:modified xsi:type="dcterms:W3CDTF">2026-04-21T13:39:30Z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